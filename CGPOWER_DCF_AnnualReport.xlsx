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F Model" sheetId="1" r:id="rId5"/>
  </sheets>
  <definedNames/>
  <calcPr/>
</workbook>
</file>

<file path=xl/sharedStrings.xml><?xml version="1.0" encoding="utf-8"?>
<sst xmlns="http://schemas.openxmlformats.org/spreadsheetml/2006/main" count="94" uniqueCount="89">
  <si>
    <t>CG POWER &amp; INDUSTRIAL SOLUTIONS LTD  |  DCF VALUATION (FCFF Method)</t>
  </si>
  <si>
    <t>Based on Annual Report FY2024-25 (Consolidated)  |  All figures in ₹ Crores  |  Source: CG Power AR FY25 (BSE Filing)</t>
  </si>
  <si>
    <t>FCFF INPUTS  (Base Year: FY2024-25)</t>
  </si>
  <si>
    <t>WACC CALCULATION</t>
  </si>
  <si>
    <t>Revenue from Operations</t>
  </si>
  <si>
    <t>Annual Report</t>
  </si>
  <si>
    <t>── COST OF EQUITY ──</t>
  </si>
  <si>
    <t>EBIT  =  PBT + Finance Costs</t>
  </si>
  <si>
    <t>Risk-Free Rate  Rf</t>
  </si>
  <si>
    <t>Assumption</t>
  </si>
  <si>
    <t>Effective Tax Rate(Averaged)</t>
  </si>
  <si>
    <t>Beta  (β)</t>
  </si>
  <si>
    <t>5-Year Beta | Yahoo Finance / StockAnalysis</t>
  </si>
  <si>
    <t>(1 – Tax Rate)</t>
  </si>
  <si>
    <t>Market Return  Rm</t>
  </si>
  <si>
    <t>Nifty 50 long-run CAGR assumption 12%</t>
  </si>
  <si>
    <t>Depreciation &amp; Amortisation</t>
  </si>
  <si>
    <t>Cost of Equity  Ke = Rf + β(Rm–Rf)</t>
  </si>
  <si>
    <t>CAPM formula</t>
  </si>
  <si>
    <t>Capital Expenditure (Capex)</t>
  </si>
  <si>
    <t>Equity (Cap + Reserves, ₹ Cr)</t>
  </si>
  <si>
    <t>Delta Working Capital</t>
  </si>
  <si>
    <t>Equity Weight  We</t>
  </si>
  <si>
    <t>Equity / (Equity + Debt)</t>
  </si>
  <si>
    <t>Ke × We</t>
  </si>
  <si>
    <t>BASE FCFF  =  EBIT×(1–T) + Dep – Capex – ΔWC</t>
  </si>
  <si>
    <t>── COST OF DEBT ──</t>
  </si>
  <si>
    <t>Base FCFF (₹ Crores)</t>
  </si>
  <si>
    <t>Calculated from AR inputs above</t>
  </si>
  <si>
    <t>Total Borrowings  (₹ Cr)</t>
  </si>
  <si>
    <t>LT ₹0.26 + ST ₹0.08 | BS Pg 246 – near debt-free</t>
  </si>
  <si>
    <t>Finance Costs  (₹ Cr)</t>
  </si>
  <si>
    <t>Consol P&amp;L | Pg 247 | ₹7.09 Cr</t>
  </si>
  <si>
    <t>GROWTH RATE ASSUMPTIONS</t>
  </si>
  <si>
    <t>Cost of Debt  Kd  (assumed)</t>
  </si>
  <si>
    <t>Assumed 8% (minimal debt – lease/working capital)</t>
  </si>
  <si>
    <t>3-Yr Revenue CAGR  (FY22→FY25)</t>
  </si>
  <si>
    <t>Rev FY22 ₹5,484 Cr → FY25 ₹9,908.66 Cr | AR &amp; Screener</t>
  </si>
  <si>
    <t>Debt Weight  Wd</t>
  </si>
  <si>
    <t>Debt / (Equity + Debt)</t>
  </si>
  <si>
    <t>2-Yr Revenue CAGR  (FY23→FY25)</t>
  </si>
  <si>
    <t>Rev FY23 ₹6,973 Cr → FY25 ₹9,908.66 Cr</t>
  </si>
  <si>
    <t>Kd × (1–T) × Wd</t>
  </si>
  <si>
    <t>After-tax debt cost × weight</t>
  </si>
  <si>
    <t>Gordon Growth  g = ROE × b</t>
  </si>
  <si>
    <t>Linked to Gordon section (right side)</t>
  </si>
  <si>
    <t>WACC  =  Ke×We  +  Kd×(1–T)×Wd</t>
  </si>
  <si>
    <t>Selected Growth Rate  GR  ▶</t>
  </si>
  <si>
    <t>Conservative pick: 20% (between 2-yr CAGR &amp; Gordon growth)</t>
  </si>
  <si>
    <t>Terminal Growth Rate  g</t>
  </si>
  <si>
    <t>Long-run GDP growth assumption 5%</t>
  </si>
  <si>
    <t>GORDON GROWTH RATE CHECK  (Method 2)</t>
  </si>
  <si>
    <t>Discount Rate  DR  (= WACC)</t>
  </si>
  <si>
    <t>Linked from WACC cell above</t>
  </si>
  <si>
    <t>Net Profit FY25  (₹ Cr)</t>
  </si>
  <si>
    <t>Consol P&amp;L – Profit for year | Pg 247</t>
  </si>
  <si>
    <t>Dividend Paid  (₹ Cr)</t>
  </si>
  <si>
    <t>Cash Flow – Financing | Pg 249</t>
  </si>
  <si>
    <t>Year</t>
  </si>
  <si>
    <t>Yr #</t>
  </si>
  <si>
    <t>FCF (₹ Cr)</t>
  </si>
  <si>
    <t>Discount Factor</t>
  </si>
  <si>
    <t>PV of FCF (₹ Cr)</t>
  </si>
  <si>
    <t>Dividend Payout Ratio</t>
  </si>
  <si>
    <t>Dividend / Net Profit</t>
  </si>
  <si>
    <t>Retention Ratio  b</t>
  </si>
  <si>
    <t>1 – Payout Ratio</t>
  </si>
  <si>
    <t>Shareholders' Equity  (₹ Cr)</t>
  </si>
  <si>
    <t>Eq Cap + Other Equity | BS Pg 246</t>
  </si>
  <si>
    <t>Return on Equity  ROE</t>
  </si>
  <si>
    <t>Net Profit / Shareholders' Equity</t>
  </si>
  <si>
    <t>Implied Growth  g = ROE × b</t>
  </si>
  <si>
    <t>Gordon Growth Model</t>
  </si>
  <si>
    <t>3-Yr Sales CAGR  (cross-check)</t>
  </si>
  <si>
    <t>Linked from Growth section</t>
  </si>
  <si>
    <t>ENTERPRISE VALUE &amp; INTRINSIC VALUE CALCULATION</t>
  </si>
  <si>
    <t>Sum of PV of FCFs  (₹ Cr)</t>
  </si>
  <si>
    <t>Terminal Value  =  FCF₂₀₃₁×(1+g)/(WACC–g)</t>
  </si>
  <si>
    <t>PV of Terminal Value  (₹ Cr)</t>
  </si>
  <si>
    <t>Enterprise Value  EV  (₹ Cr)</t>
  </si>
  <si>
    <t>(–) Net Debt  (₹ Cr)</t>
  </si>
  <si>
    <t>Cash ₹409.51 + MF ₹436.78 + Bank ₹849.61 – Borrowings ₹0.34 | BS Pg 246</t>
  </si>
  <si>
    <t>Equity Value  (₹ Cr)</t>
  </si>
  <si>
    <t>Shares Outstanding  (Cr)</t>
  </si>
  <si>
    <t>Eq Cap ₹305.78 Cr / FV ₹2 = 152.89 Cr shares | BS Pg 246</t>
  </si>
  <si>
    <t>Intrinsic Value per Share  (₹)</t>
  </si>
  <si>
    <t>Current Market Price  MPS  (₹)</t>
  </si>
  <si>
    <t>NSE closing price ~4th Apr 2025 | ₹575</t>
  </si>
  <si>
    <t>Margin of Safety  (IV–MPS)/IV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</si>
</sst>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%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11.0"/>
      <color rgb="FF22222F"/>
      <name val="&quot;Inter var&quot;"/>
    </font>
    <font>
      <color theme="1"/>
      <name val="Calibri"/>
      <scheme val="minor"/>
    </font>
    <font>
      <sz val="11.0"/>
      <color rgb="FF22222F"/>
      <name val="Arial"/>
    </font>
    <font>
      <b/>
      <sz val="12.0"/>
      <color rgb="FFFF0000"/>
      <name val="Arial"/>
    </font>
    <font>
      <sz val="9.0"/>
      <color rgb="FF40404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4B5"/>
        <bgColor rgb="FF2E74B5"/>
      </patternFill>
    </fill>
    <fill>
      <patternFill patternType="solid">
        <fgColor rgb="FFFFFF00"/>
        <bgColor rgb="FFFFFF00"/>
      </patternFill>
    </fill>
    <fill>
      <patternFill patternType="solid">
        <fgColor rgb="FFF8F8FC"/>
        <bgColor rgb="FFF8F8F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3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7" fillId="4" fontId="7" numFmtId="4" xfId="0" applyAlignment="1" applyBorder="1" applyFill="1" applyFont="1" applyNumberFormat="1">
      <alignment horizontal="right" readingOrder="0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5" fontId="9" numFmtId="4" xfId="0" applyAlignment="1" applyFill="1" applyFont="1" applyNumberFormat="1">
      <alignment horizontal="right" readingOrder="0"/>
    </xf>
    <xf borderId="8" fillId="4" fontId="7" numFmtId="10" xfId="0" applyAlignment="1" applyBorder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8" fillId="4" fontId="7" numFmtId="0" xfId="0" applyAlignment="1" applyBorder="1" applyFont="1">
      <alignment horizontal="right" readingOrder="0" shrinkToFit="0" vertical="center" wrapText="0"/>
    </xf>
    <xf borderId="8" fillId="4" fontId="7" numFmtId="164" xfId="0" applyAlignment="1" applyBorder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8" fillId="4" fontId="7" numFmtId="10" xfId="0" applyAlignment="1" applyBorder="1" applyFont="1" applyNumberFormat="1">
      <alignment horizontal="right" shrinkToFit="0" vertical="center" wrapText="0"/>
    </xf>
    <xf borderId="0" fillId="0" fontId="6" numFmtId="10" xfId="0" applyAlignment="1" applyFont="1" applyNumberFormat="1">
      <alignment horizontal="right" shrinkToFit="0" vertical="center" wrapText="0"/>
    </xf>
    <xf borderId="8" fillId="4" fontId="7" numFmtId="4" xfId="0" applyAlignment="1" applyBorder="1" applyFont="1" applyNumberFormat="1">
      <alignment horizontal="right" readingOrder="0" shrinkToFit="0" vertical="center" wrapText="0"/>
    </xf>
    <xf borderId="0" fillId="0" fontId="10" numFmtId="4" xfId="0" applyAlignment="1" applyFont="1" applyNumberFormat="1">
      <alignment readingOrder="0"/>
    </xf>
    <xf borderId="9" fillId="6" fontId="8" numFmtId="4" xfId="0" applyAlignment="1" applyBorder="1" applyFill="1" applyFont="1" applyNumberFormat="1">
      <alignment horizontal="right" shrinkToFit="0" vertical="center" wrapText="0"/>
    </xf>
    <xf borderId="0" fillId="5" fontId="11" numFmtId="4" xfId="0" applyAlignment="1" applyFont="1" applyNumberFormat="1">
      <alignment horizontal="right" readingOrder="0"/>
    </xf>
    <xf borderId="8" fillId="4" fontId="7" numFmtId="4" xfId="0" applyAlignment="1" applyBorder="1" applyFont="1" applyNumberFormat="1">
      <alignment horizontal="right" shrinkToFit="0" vertical="center" wrapText="0"/>
    </xf>
    <xf borderId="1" fillId="6" fontId="8" numFmtId="0" xfId="0" applyAlignment="1" applyBorder="1" applyFont="1">
      <alignment horizontal="left" shrinkToFit="0" vertical="center" wrapText="0"/>
    </xf>
    <xf borderId="4" fillId="6" fontId="8" numFmtId="10" xfId="0" applyAlignment="1" applyBorder="1" applyFont="1" applyNumberFormat="1">
      <alignment horizontal="right" shrinkToFit="0" vertical="center" wrapText="0"/>
    </xf>
    <xf borderId="10" fillId="0" fontId="2" numFmtId="0" xfId="0" applyBorder="1" applyFont="1"/>
    <xf borderId="8" fillId="7" fontId="8" numFmtId="0" xfId="0" applyAlignment="1" applyBorder="1" applyFill="1" applyFont="1">
      <alignment horizontal="left" shrinkToFit="0" vertical="center" wrapText="0"/>
    </xf>
    <xf borderId="9" fillId="3" fontId="5" numFmtId="0" xfId="0" applyAlignment="1" applyBorder="1" applyFont="1">
      <alignment horizontal="center" shrinkToFit="0" vertical="center" wrapText="0"/>
    </xf>
    <xf borderId="8" fillId="8" fontId="6" numFmtId="0" xfId="0" applyAlignment="1" applyBorder="1" applyFill="1" applyFont="1">
      <alignment horizontal="center" shrinkToFit="0" vertical="center" wrapText="0"/>
    </xf>
    <xf borderId="8" fillId="8" fontId="6" numFmtId="4" xfId="0" applyAlignment="1" applyBorder="1" applyFont="1" applyNumberFormat="1">
      <alignment horizontal="right" shrinkToFit="0" vertical="center" wrapText="0"/>
    </xf>
    <xf borderId="8" fillId="8" fontId="6" numFmtId="165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4" xfId="0" applyAlignment="1" applyFont="1" applyNumberFormat="1">
      <alignment horizontal="right" shrinkToFit="0" vertical="center" wrapText="0"/>
    </xf>
    <xf borderId="0" fillId="0" fontId="6" numFmtId="165" xfId="0" applyAlignment="1" applyFont="1" applyNumberFormat="1">
      <alignment horizontal="right" shrinkToFit="0" vertical="center" wrapText="0"/>
    </xf>
    <xf borderId="8" fillId="4" fontId="7" numFmtId="3" xfId="0" applyAlignment="1" applyBorder="1" applyFont="1" applyNumberFormat="1">
      <alignment horizontal="right" readingOrder="0" shrinkToFit="0" vertical="center" wrapText="0"/>
    </xf>
    <xf borderId="9" fillId="6" fontId="8" numFmtId="166" xfId="0" applyAlignment="1" applyBorder="1" applyFont="1" applyNumberFormat="1">
      <alignment horizontal="right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9" fontId="5" numFmtId="0" xfId="0" applyAlignment="1" applyBorder="1" applyFill="1" applyFont="1">
      <alignment horizontal="center" shrinkToFit="0" vertical="center" wrapText="0"/>
    </xf>
    <xf borderId="8" fillId="9" fontId="8" numFmtId="0" xfId="0" applyAlignment="1" applyBorder="1" applyFont="1">
      <alignment horizontal="center" shrinkToFit="0" vertical="center" wrapText="0"/>
    </xf>
    <xf borderId="8" fillId="9" fontId="5" numFmtId="166" xfId="0" applyAlignment="1" applyBorder="1" applyFont="1" applyNumberFormat="1">
      <alignment horizontal="center" shrinkToFit="0" vertical="center" wrapText="0"/>
    </xf>
    <xf borderId="0" fillId="9" fontId="4" numFmtId="0" xfId="0" applyAlignment="1" applyFont="1">
      <alignment shrinkToFit="0" vertical="bottom" wrapText="0"/>
    </xf>
    <xf borderId="8" fillId="9" fontId="6" numFmtId="3" xfId="0" applyAlignment="1" applyBorder="1" applyFont="1" applyNumberFormat="1">
      <alignment horizontal="center" shrinkToFit="0" vertical="center" wrapText="0"/>
    </xf>
    <xf borderId="8" fillId="9" fontId="5" numFmtId="3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20.0"/>
    <col customWidth="1" min="4" max="4" width="16.0"/>
    <col customWidth="1" min="5" max="5" width="34.86"/>
    <col customWidth="1" min="6" max="6" width="4.0"/>
    <col customWidth="1" min="7" max="7" width="32.71"/>
    <col customWidth="1" min="8" max="9" width="14.0"/>
    <col customWidth="1" min="10" max="10" width="27.43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4" t="s">
        <v>1</v>
      </c>
    </row>
    <row r="3" ht="7.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15.0" customHeight="1">
      <c r="A4" s="6" t="s">
        <v>2</v>
      </c>
      <c r="B4" s="7"/>
      <c r="C4" s="7"/>
      <c r="D4" s="7"/>
      <c r="E4" s="8"/>
      <c r="F4" s="5"/>
      <c r="G4" s="9" t="s">
        <v>3</v>
      </c>
      <c r="H4" s="7"/>
      <c r="I4" s="7"/>
      <c r="J4" s="8"/>
    </row>
    <row r="5" ht="15.0" customHeight="1">
      <c r="A5" s="10" t="s">
        <v>4</v>
      </c>
      <c r="B5" s="11">
        <f>2228+2413+2516+2753</f>
        <v>9910</v>
      </c>
      <c r="C5" s="5"/>
      <c r="D5" s="4" t="s">
        <v>5</v>
      </c>
      <c r="F5" s="5"/>
      <c r="G5" s="12" t="s">
        <v>6</v>
      </c>
      <c r="H5" s="5"/>
      <c r="I5" s="5"/>
      <c r="J5" s="5"/>
    </row>
    <row r="6" ht="15.0" customHeight="1">
      <c r="A6" s="10" t="s">
        <v>7</v>
      </c>
      <c r="B6" s="13">
        <f>1347.97+7.09</f>
        <v>1355.06</v>
      </c>
      <c r="C6" s="5"/>
      <c r="D6" s="4" t="s">
        <v>5</v>
      </c>
      <c r="F6" s="5"/>
      <c r="G6" s="10" t="s">
        <v>8</v>
      </c>
      <c r="H6" s="14">
        <v>0.06</v>
      </c>
      <c r="I6" s="4" t="s">
        <v>9</v>
      </c>
    </row>
    <row r="7" ht="15.0" customHeight="1">
      <c r="A7" s="15" t="s">
        <v>10</v>
      </c>
      <c r="B7" s="16">
        <v>0.25168</v>
      </c>
      <c r="C7" s="5"/>
      <c r="D7" s="4" t="s">
        <v>5</v>
      </c>
      <c r="F7" s="5"/>
      <c r="G7" s="10" t="s">
        <v>11</v>
      </c>
      <c r="H7" s="17">
        <v>0.41</v>
      </c>
      <c r="I7" s="18" t="s">
        <v>12</v>
      </c>
    </row>
    <row r="8" ht="15.0" customHeight="1">
      <c r="A8" s="10" t="s">
        <v>13</v>
      </c>
      <c r="B8" s="19">
        <f> 1-B7</f>
        <v>0.74832</v>
      </c>
      <c r="C8" s="5"/>
      <c r="D8" s="4"/>
      <c r="F8" s="5"/>
      <c r="G8" s="10" t="s">
        <v>14</v>
      </c>
      <c r="H8" s="20">
        <v>0.12</v>
      </c>
      <c r="I8" s="18" t="s">
        <v>15</v>
      </c>
    </row>
    <row r="9" ht="15.0" customHeight="1">
      <c r="A9" s="10" t="s">
        <v>16</v>
      </c>
      <c r="B9" s="13">
        <f>24+28+28+32</f>
        <v>112</v>
      </c>
      <c r="C9" s="5"/>
      <c r="D9" s="4" t="s">
        <v>5</v>
      </c>
      <c r="F9" s="5"/>
      <c r="G9" s="10" t="s">
        <v>17</v>
      </c>
      <c r="H9" s="21">
        <f>H6+H7*(H8-H6)</f>
        <v>0.0846</v>
      </c>
      <c r="I9" s="18" t="s">
        <v>18</v>
      </c>
    </row>
    <row r="10" ht="15.0" customHeight="1">
      <c r="A10" s="10" t="s">
        <v>19</v>
      </c>
      <c r="B10" s="22">
        <v>568.0</v>
      </c>
      <c r="C10" s="5"/>
      <c r="D10" s="4" t="s">
        <v>5</v>
      </c>
      <c r="F10" s="5"/>
      <c r="G10" s="10" t="s">
        <v>20</v>
      </c>
      <c r="H10" s="23">
        <f>305.78+3538.17</f>
        <v>3843.95</v>
      </c>
      <c r="I10" s="18"/>
    </row>
    <row r="11" ht="15.0" customHeight="1">
      <c r="A11" s="10" t="s">
        <v>21</v>
      </c>
      <c r="B11" s="22">
        <v>-201.0</v>
      </c>
      <c r="C11" s="5"/>
      <c r="D11" s="4" t="s">
        <v>5</v>
      </c>
      <c r="F11" s="5"/>
      <c r="G11" s="10" t="s">
        <v>22</v>
      </c>
      <c r="H11" s="21">
        <f>H10/(H10+H14)</f>
        <v>0.9704616317</v>
      </c>
      <c r="I11" s="18" t="s">
        <v>23</v>
      </c>
    </row>
    <row r="12" ht="18.75" customHeight="1">
      <c r="A12" s="5"/>
      <c r="B12" s="5"/>
      <c r="C12" s="5"/>
      <c r="D12" s="5"/>
      <c r="E12" s="5"/>
      <c r="F12" s="5"/>
      <c r="G12" s="10" t="s">
        <v>24</v>
      </c>
      <c r="H12" s="21">
        <f>H9*H11</f>
        <v>0.08210105404</v>
      </c>
      <c r="I12" s="18"/>
    </row>
    <row r="13" ht="15.0" customHeight="1">
      <c r="A13" s="9" t="s">
        <v>25</v>
      </c>
      <c r="B13" s="7"/>
      <c r="C13" s="7"/>
      <c r="D13" s="7"/>
      <c r="E13" s="8"/>
      <c r="F13" s="5"/>
      <c r="G13" s="12" t="s">
        <v>26</v>
      </c>
      <c r="H13" s="5"/>
      <c r="I13" s="5"/>
      <c r="J13" s="5"/>
    </row>
    <row r="14" ht="15.0" customHeight="1">
      <c r="A14" s="12" t="s">
        <v>27</v>
      </c>
      <c r="B14" s="24">
        <f>(B6*B8)+B9-B10-B11</f>
        <v>759.0184992</v>
      </c>
      <c r="C14" s="5"/>
      <c r="D14" s="18" t="s">
        <v>28</v>
      </c>
      <c r="F14" s="5"/>
      <c r="G14" s="10" t="s">
        <v>29</v>
      </c>
      <c r="H14" s="25">
        <v>117.0</v>
      </c>
      <c r="I14" s="18" t="s">
        <v>30</v>
      </c>
    </row>
    <row r="15" ht="34.5" customHeight="1">
      <c r="A15" s="5"/>
      <c r="B15" s="5"/>
      <c r="C15" s="5"/>
      <c r="D15" s="5"/>
      <c r="E15" s="5"/>
      <c r="F15" s="5"/>
      <c r="G15" s="10" t="s">
        <v>31</v>
      </c>
      <c r="H15" s="26">
        <v>7.09</v>
      </c>
      <c r="I15" s="18" t="s">
        <v>32</v>
      </c>
    </row>
    <row r="16" ht="15.0" customHeight="1">
      <c r="A16" s="9" t="s">
        <v>33</v>
      </c>
      <c r="B16" s="7"/>
      <c r="C16" s="7"/>
      <c r="D16" s="7"/>
      <c r="E16" s="8"/>
      <c r="F16" s="5"/>
      <c r="G16" s="10" t="s">
        <v>34</v>
      </c>
      <c r="H16" s="20">
        <v>0.08</v>
      </c>
      <c r="I16" s="18" t="s">
        <v>35</v>
      </c>
    </row>
    <row r="17" ht="15.0" customHeight="1">
      <c r="A17" s="10" t="s">
        <v>36</v>
      </c>
      <c r="B17" s="21">
        <f>(9908.66/5484)^(1/3)-1</f>
        <v>0.2179772044</v>
      </c>
      <c r="C17" s="5"/>
      <c r="D17" s="18" t="s">
        <v>37</v>
      </c>
      <c r="F17" s="5"/>
      <c r="G17" s="10" t="s">
        <v>38</v>
      </c>
      <c r="H17" s="21">
        <f>H14/(H10+H14)</f>
        <v>0.02953836832</v>
      </c>
      <c r="I17" s="18" t="s">
        <v>39</v>
      </c>
    </row>
    <row r="18" ht="15.0" customHeight="1">
      <c r="A18" s="10" t="s">
        <v>40</v>
      </c>
      <c r="B18" s="21">
        <f>(9908.66/6973)^(1/2)-1</f>
        <v>0.1920586697</v>
      </c>
      <c r="C18" s="5"/>
      <c r="D18" s="18" t="s">
        <v>41</v>
      </c>
      <c r="F18" s="5"/>
      <c r="G18" s="10" t="s">
        <v>42</v>
      </c>
      <c r="H18" s="21">
        <f>H16*(1-B7)*H17</f>
        <v>0.001768332143</v>
      </c>
      <c r="I18" s="18" t="s">
        <v>43</v>
      </c>
    </row>
    <row r="19" ht="15.0" customHeight="1">
      <c r="A19" s="10" t="s">
        <v>44</v>
      </c>
      <c r="B19" s="21">
        <f>H28*H27</f>
        <v>0.05098218549</v>
      </c>
      <c r="C19" s="5"/>
      <c r="D19" s="18" t="s">
        <v>45</v>
      </c>
      <c r="F19" s="5"/>
      <c r="G19" s="27" t="s">
        <v>46</v>
      </c>
      <c r="H19" s="3"/>
      <c r="I19" s="28">
        <f>H12+H18</f>
        <v>0.08386938618</v>
      </c>
      <c r="J19" s="29"/>
    </row>
    <row r="20" ht="15.0" customHeight="1">
      <c r="A20" s="30" t="s">
        <v>47</v>
      </c>
      <c r="B20" s="20">
        <v>0.2</v>
      </c>
      <c r="C20" s="5"/>
      <c r="D20" s="18" t="s">
        <v>48</v>
      </c>
      <c r="F20" s="5"/>
      <c r="G20" s="5"/>
      <c r="H20" s="5"/>
      <c r="I20" s="5"/>
      <c r="J20" s="5"/>
    </row>
    <row r="21" ht="15.0" customHeight="1">
      <c r="A21" s="10" t="s">
        <v>49</v>
      </c>
      <c r="B21" s="20">
        <v>0.05</v>
      </c>
      <c r="C21" s="5"/>
      <c r="D21" s="18" t="s">
        <v>50</v>
      </c>
      <c r="F21" s="5"/>
      <c r="G21" s="9" t="s">
        <v>51</v>
      </c>
      <c r="H21" s="7"/>
      <c r="I21" s="7"/>
      <c r="J21" s="8"/>
    </row>
    <row r="22" ht="15.0" customHeight="1">
      <c r="A22" s="10" t="s">
        <v>52</v>
      </c>
      <c r="B22" s="21">
        <f>I19</f>
        <v>0.08386938618</v>
      </c>
      <c r="C22" s="5"/>
      <c r="D22" s="18" t="s">
        <v>53</v>
      </c>
      <c r="F22" s="5"/>
      <c r="G22" s="10" t="s">
        <v>54</v>
      </c>
      <c r="H22" s="22">
        <v>972.98</v>
      </c>
      <c r="I22" s="18" t="s">
        <v>55</v>
      </c>
    </row>
    <row r="23" ht="15.75" customHeight="1">
      <c r="A23" s="5"/>
      <c r="B23" s="5"/>
      <c r="C23" s="5"/>
      <c r="D23" s="5"/>
      <c r="E23" s="5"/>
      <c r="F23" s="5"/>
      <c r="G23" s="10" t="s">
        <v>56</v>
      </c>
      <c r="H23" s="22">
        <f>198.75</f>
        <v>198.75</v>
      </c>
      <c r="I23" s="18" t="s">
        <v>57</v>
      </c>
    </row>
    <row r="24" ht="15.0" customHeight="1">
      <c r="A24" s="31" t="s">
        <v>58</v>
      </c>
      <c r="B24" s="31" t="s">
        <v>59</v>
      </c>
      <c r="C24" s="31" t="s">
        <v>60</v>
      </c>
      <c r="D24" s="31" t="s">
        <v>61</v>
      </c>
      <c r="E24" s="31" t="s">
        <v>62</v>
      </c>
      <c r="F24" s="5"/>
      <c r="G24" s="10" t="s">
        <v>63</v>
      </c>
      <c r="H24" s="21">
        <f>H23/H22</f>
        <v>0.2042693581</v>
      </c>
      <c r="I24" s="18" t="s">
        <v>64</v>
      </c>
    </row>
    <row r="25" ht="15.0" customHeight="1">
      <c r="A25" s="32">
        <v>2026.0</v>
      </c>
      <c r="B25" s="32">
        <v>1.0</v>
      </c>
      <c r="C25" s="33">
        <f>B14*(1+$B$20)</f>
        <v>910.822199</v>
      </c>
      <c r="D25" s="34">
        <f t="shared" ref="D25:D30" si="1">1/(1+$B$22)^B25</f>
        <v>0.9226203939</v>
      </c>
      <c r="E25" s="33">
        <f t="shared" ref="E25:E30" si="2">C25*D25</f>
        <v>840.343136</v>
      </c>
      <c r="F25" s="5"/>
      <c r="G25" s="10" t="s">
        <v>65</v>
      </c>
      <c r="H25" s="21">
        <f>1-H24</f>
        <v>0.7957306419</v>
      </c>
      <c r="I25" s="18" t="s">
        <v>66</v>
      </c>
    </row>
    <row r="26" ht="15.0" customHeight="1">
      <c r="A26" s="35">
        <v>2027.0</v>
      </c>
      <c r="B26" s="35">
        <v>2.0</v>
      </c>
      <c r="C26" s="36">
        <f t="shared" ref="C26:C30" si="3">C25*(1+$B$20)</f>
        <v>1092.986639</v>
      </c>
      <c r="D26" s="37">
        <f t="shared" si="1"/>
        <v>0.8512283912</v>
      </c>
      <c r="E26" s="36">
        <f t="shared" si="2"/>
        <v>930.3812582</v>
      </c>
      <c r="F26" s="5"/>
      <c r="G26" s="10" t="s">
        <v>67</v>
      </c>
      <c r="H26" s="26">
        <v>3843.95</v>
      </c>
      <c r="I26" s="18" t="s">
        <v>68</v>
      </c>
    </row>
    <row r="27" ht="15.0" customHeight="1">
      <c r="A27" s="32">
        <v>2028.0</v>
      </c>
      <c r="B27" s="32">
        <v>3.0</v>
      </c>
      <c r="C27" s="33">
        <f t="shared" si="3"/>
        <v>1311.583967</v>
      </c>
      <c r="D27" s="34">
        <f t="shared" si="1"/>
        <v>0.7853606736</v>
      </c>
      <c r="E27" s="33">
        <f t="shared" si="2"/>
        <v>1030.066467</v>
      </c>
      <c r="F27" s="5"/>
      <c r="G27" s="10" t="s">
        <v>69</v>
      </c>
      <c r="H27" s="21">
        <f>H22/H26</f>
        <v>0.2531198377</v>
      </c>
      <c r="I27" s="18" t="s">
        <v>70</v>
      </c>
    </row>
    <row r="28" ht="15.0" customHeight="1">
      <c r="A28" s="35">
        <v>2029.0</v>
      </c>
      <c r="B28" s="35">
        <v>4.0</v>
      </c>
      <c r="C28" s="36">
        <f t="shared" si="3"/>
        <v>1573.90076</v>
      </c>
      <c r="D28" s="37">
        <f t="shared" si="1"/>
        <v>0.724589774</v>
      </c>
      <c r="E28" s="36">
        <f t="shared" si="2"/>
        <v>1140.432396</v>
      </c>
      <c r="F28" s="5"/>
      <c r="G28" s="10" t="s">
        <v>71</v>
      </c>
      <c r="H28" s="21">
        <f>H27*H25</f>
        <v>0.2014152109</v>
      </c>
      <c r="I28" s="18" t="s">
        <v>72</v>
      </c>
    </row>
    <row r="29" ht="15.0" customHeight="1">
      <c r="A29" s="32">
        <v>2030.0</v>
      </c>
      <c r="B29" s="32">
        <v>5.0</v>
      </c>
      <c r="C29" s="33">
        <f t="shared" si="3"/>
        <v>1888.680912</v>
      </c>
      <c r="D29" s="34">
        <f t="shared" si="1"/>
        <v>0.6685213027</v>
      </c>
      <c r="E29" s="33">
        <f t="shared" si="2"/>
        <v>1262.623424</v>
      </c>
      <c r="F29" s="5"/>
      <c r="G29" s="10" t="s">
        <v>73</v>
      </c>
      <c r="H29" s="21">
        <f>B17</f>
        <v>0.2179772044</v>
      </c>
      <c r="I29" s="18" t="s">
        <v>74</v>
      </c>
    </row>
    <row r="30" ht="15.0" customHeight="1">
      <c r="A30" s="35">
        <v>2031.0</v>
      </c>
      <c r="B30" s="35">
        <v>6.0</v>
      </c>
      <c r="C30" s="36">
        <f t="shared" si="3"/>
        <v>2266.417094</v>
      </c>
      <c r="D30" s="37">
        <f t="shared" si="1"/>
        <v>0.6167913876</v>
      </c>
      <c r="E30" s="36">
        <f t="shared" si="2"/>
        <v>1397.906545</v>
      </c>
      <c r="F30" s="5"/>
      <c r="G30" s="5"/>
      <c r="H30" s="5"/>
      <c r="I30" s="5"/>
      <c r="J30" s="5"/>
    </row>
    <row r="31" ht="7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.0" customHeight="1">
      <c r="A32" s="9" t="s">
        <v>75</v>
      </c>
      <c r="B32" s="7"/>
      <c r="C32" s="7"/>
      <c r="D32" s="7"/>
      <c r="E32" s="8"/>
      <c r="F32" s="5"/>
      <c r="G32" s="5"/>
      <c r="H32" s="5"/>
      <c r="I32" s="5"/>
      <c r="J32" s="5"/>
    </row>
    <row r="33" ht="15.0" customHeight="1">
      <c r="A33" s="10" t="s">
        <v>76</v>
      </c>
      <c r="B33" s="5"/>
      <c r="C33" s="24">
        <f>SUM(E25:E30)</f>
        <v>6601.753226</v>
      </c>
      <c r="D33" s="5"/>
      <c r="E33" s="5"/>
      <c r="F33" s="5"/>
      <c r="G33" s="5"/>
      <c r="H33" s="5"/>
      <c r="I33" s="5"/>
      <c r="J33" s="5"/>
    </row>
    <row r="34" ht="15.0" customHeight="1">
      <c r="A34" s="10" t="s">
        <v>77</v>
      </c>
      <c r="B34" s="5"/>
      <c r="C34" s="24">
        <f>C30*(1+B21)/(B22-B21)</f>
        <v>70262.21072</v>
      </c>
      <c r="D34" s="5"/>
      <c r="E34" s="5"/>
      <c r="F34" s="5"/>
      <c r="G34" s="5"/>
      <c r="H34" s="5"/>
      <c r="I34" s="5"/>
      <c r="J34" s="5"/>
    </row>
    <row r="35" ht="15.0" customHeight="1">
      <c r="A35" s="10" t="s">
        <v>78</v>
      </c>
      <c r="B35" s="5"/>
      <c r="C35" s="24">
        <f>C34*D30</f>
        <v>43337.12645</v>
      </c>
      <c r="D35" s="5"/>
      <c r="E35" s="5"/>
      <c r="F35" s="5"/>
      <c r="G35" s="5"/>
      <c r="H35" s="5"/>
      <c r="I35" s="5"/>
      <c r="J35" s="5"/>
    </row>
    <row r="36" ht="15.0" customHeight="1">
      <c r="A36" s="12" t="s">
        <v>79</v>
      </c>
      <c r="B36" s="5"/>
      <c r="C36" s="24">
        <f>C33+C35</f>
        <v>49938.87967</v>
      </c>
      <c r="D36" s="5"/>
      <c r="E36" s="5"/>
      <c r="F36" s="5"/>
      <c r="G36" s="5"/>
      <c r="H36" s="5"/>
      <c r="I36" s="5"/>
      <c r="J36" s="5"/>
    </row>
    <row r="37" ht="15.0" customHeight="1">
      <c r="A37" s="10" t="s">
        <v>80</v>
      </c>
      <c r="B37" s="5"/>
      <c r="C37" s="24">
        <f>(0.34-(409.51+436.78+849.61))</f>
        <v>-1695.56</v>
      </c>
      <c r="D37" s="18" t="s">
        <v>81</v>
      </c>
      <c r="F37" s="5"/>
      <c r="G37" s="5"/>
      <c r="H37" s="5"/>
      <c r="I37" s="5"/>
      <c r="J37" s="5"/>
    </row>
    <row r="38" ht="15.0" customHeight="1">
      <c r="A38" s="12" t="s">
        <v>82</v>
      </c>
      <c r="B38" s="5"/>
      <c r="C38" s="24">
        <f>C36+C37</f>
        <v>48243.31967</v>
      </c>
      <c r="D38" s="5"/>
      <c r="E38" s="5"/>
      <c r="F38" s="5"/>
      <c r="G38" s="5"/>
      <c r="H38" s="5"/>
      <c r="I38" s="5"/>
      <c r="J38" s="5"/>
    </row>
    <row r="39" ht="15.0" customHeight="1">
      <c r="A39" s="10" t="s">
        <v>83</v>
      </c>
      <c r="B39" s="26">
        <v>152.89</v>
      </c>
      <c r="C39" s="5"/>
      <c r="D39" s="18" t="s">
        <v>84</v>
      </c>
      <c r="F39" s="5"/>
      <c r="G39" s="5"/>
      <c r="H39" s="5"/>
      <c r="I39" s="5"/>
      <c r="J39" s="5"/>
    </row>
    <row r="40" ht="15.0" customHeight="1">
      <c r="A40" s="12" t="s">
        <v>85</v>
      </c>
      <c r="B40" s="5"/>
      <c r="C40" s="24">
        <f>C38/B39</f>
        <v>315.5426756</v>
      </c>
      <c r="D40" s="5"/>
      <c r="E40" s="5"/>
      <c r="F40" s="5"/>
      <c r="G40" s="5"/>
      <c r="H40" s="5"/>
      <c r="I40" s="5"/>
      <c r="J40" s="5"/>
    </row>
    <row r="41" ht="15.0" customHeight="1">
      <c r="A41" s="10" t="s">
        <v>86</v>
      </c>
      <c r="B41" s="38">
        <v>575.0</v>
      </c>
      <c r="C41" s="5"/>
      <c r="D41" s="4" t="s">
        <v>87</v>
      </c>
      <c r="F41" s="5"/>
      <c r="G41" s="5"/>
      <c r="H41" s="5"/>
      <c r="I41" s="5"/>
      <c r="J41" s="5"/>
    </row>
    <row r="42" ht="15.0" customHeight="1">
      <c r="A42" s="10" t="s">
        <v>88</v>
      </c>
      <c r="B42" s="5"/>
      <c r="C42" s="39">
        <f>IF(C40&gt;0,(C40-B41)/C40,"N/A")</f>
        <v>-0.8222574771</v>
      </c>
      <c r="D42" s="5"/>
      <c r="E42" s="5"/>
      <c r="F42" s="5"/>
      <c r="G42" s="5"/>
      <c r="H42" s="5"/>
      <c r="I42" s="5"/>
      <c r="J42" s="5"/>
    </row>
    <row r="43" ht="21.75" customHeight="1">
      <c r="A43" s="40" t="str">
        <f>IF(C40&gt;B41,"UNDERVALUED","OVERVALUED")</f>
        <v>OVERVALUED</v>
      </c>
      <c r="B43" s="7"/>
      <c r="C43" s="8"/>
      <c r="D43" s="12" t="str">
        <f>CONCATENATE("IV Rs.",TEXT(C40,"#,##0")," vs MPS Rs.",TEXT(B41,"#,##0")," | MoS: ",TEXT(C42,"0.0%"))</f>
        <v>IV Rs.316 vs MPS Rs.575 | MoS: -82.2%</v>
      </c>
      <c r="F43" s="5"/>
      <c r="G43" s="5"/>
      <c r="H43" s="5"/>
      <c r="I43" s="5"/>
      <c r="J43" s="5"/>
    </row>
    <row r="44" ht="7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.0" customHeight="1">
      <c r="A45" s="41"/>
      <c r="B45" s="7"/>
      <c r="C45" s="7"/>
      <c r="D45" s="7"/>
      <c r="E45" s="7"/>
      <c r="F45" s="7"/>
      <c r="G45" s="7"/>
      <c r="H45" s="7"/>
      <c r="I45" s="7"/>
      <c r="J45" s="8"/>
    </row>
    <row r="46" ht="15.0" customHeight="1">
      <c r="A46" s="42"/>
      <c r="B46" s="43"/>
      <c r="C46" s="43"/>
      <c r="D46" s="43"/>
      <c r="E46" s="43"/>
      <c r="F46" s="43"/>
      <c r="G46" s="43"/>
      <c r="H46" s="43"/>
      <c r="I46" s="44"/>
      <c r="J46" s="44"/>
    </row>
    <row r="47" ht="15.0" customHeight="1">
      <c r="A47" s="43"/>
      <c r="B47" s="45"/>
      <c r="C47" s="45"/>
      <c r="D47" s="45"/>
      <c r="E47" s="45"/>
      <c r="F47" s="45"/>
      <c r="G47" s="45"/>
      <c r="H47" s="45"/>
      <c r="I47" s="44"/>
      <c r="J47" s="44"/>
    </row>
    <row r="48" ht="15.0" customHeight="1">
      <c r="A48" s="43"/>
      <c r="B48" s="45"/>
      <c r="C48" s="45"/>
      <c r="D48" s="45"/>
      <c r="E48" s="45"/>
      <c r="F48" s="45"/>
      <c r="G48" s="45"/>
      <c r="H48" s="45"/>
      <c r="I48" s="44"/>
      <c r="J48" s="44"/>
    </row>
    <row r="49" ht="15.0" customHeight="1">
      <c r="A49" s="43"/>
      <c r="B49" s="45"/>
      <c r="C49" s="45"/>
      <c r="D49" s="45"/>
      <c r="E49" s="45"/>
      <c r="F49" s="45"/>
      <c r="G49" s="45"/>
      <c r="H49" s="45"/>
      <c r="I49" s="44"/>
      <c r="J49" s="44"/>
    </row>
    <row r="50" ht="15.0" customHeight="1">
      <c r="A50" s="43"/>
      <c r="B50" s="45"/>
      <c r="C50" s="45"/>
      <c r="D50" s="45"/>
      <c r="E50" s="45"/>
      <c r="F50" s="45"/>
      <c r="G50" s="45"/>
      <c r="H50" s="45"/>
      <c r="I50" s="44"/>
      <c r="J50" s="44"/>
    </row>
    <row r="51" ht="15.0" customHeight="1">
      <c r="A51" s="43"/>
      <c r="B51" s="45"/>
      <c r="C51" s="45"/>
      <c r="D51" s="45"/>
      <c r="E51" s="46"/>
      <c r="F51" s="45"/>
      <c r="G51" s="45"/>
      <c r="H51" s="45"/>
      <c r="I51" s="44"/>
      <c r="J51" s="44"/>
    </row>
    <row r="52" ht="15.0" customHeight="1">
      <c r="A52" s="43"/>
      <c r="B52" s="45"/>
      <c r="C52" s="45"/>
      <c r="D52" s="45"/>
      <c r="E52" s="45"/>
      <c r="F52" s="45"/>
      <c r="G52" s="45"/>
      <c r="H52" s="45"/>
      <c r="I52" s="44"/>
      <c r="J52" s="44"/>
    </row>
    <row r="53" ht="15.0" customHeight="1">
      <c r="A53" s="43"/>
      <c r="B53" s="45"/>
      <c r="C53" s="45"/>
      <c r="D53" s="45"/>
      <c r="E53" s="45"/>
      <c r="F53" s="45"/>
      <c r="G53" s="45"/>
      <c r="H53" s="45"/>
      <c r="I53" s="44"/>
      <c r="J53" s="4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7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.0" customHeight="1">
      <c r="A56" s="41"/>
      <c r="B56" s="7"/>
      <c r="C56" s="7"/>
      <c r="D56" s="7"/>
      <c r="E56" s="7"/>
      <c r="F56" s="7"/>
      <c r="G56" s="7"/>
      <c r="H56" s="7"/>
      <c r="I56" s="7"/>
      <c r="J56" s="8"/>
    </row>
    <row r="57" ht="15.0" customHeight="1">
      <c r="A57" s="47"/>
    </row>
    <row r="58" ht="15.0" customHeight="1">
      <c r="A58" s="47"/>
    </row>
    <row r="59" ht="15.0" customHeight="1">
      <c r="A59" s="47"/>
    </row>
    <row r="60" ht="15.0" customHeight="1">
      <c r="A60" s="47"/>
    </row>
    <row r="61" ht="15.0" customHeight="1">
      <c r="A61" s="47"/>
    </row>
    <row r="62" ht="15.0" customHeight="1">
      <c r="A62" s="47"/>
    </row>
    <row r="63" ht="15.0" customHeight="1">
      <c r="A63" s="47"/>
    </row>
    <row r="64" ht="15.0" customHeight="1">
      <c r="A64" s="47"/>
    </row>
    <row r="65" ht="15.0" customHeight="1">
      <c r="A65" s="47"/>
    </row>
    <row r="66" ht="15.0" customHeight="1">
      <c r="A66" s="47"/>
    </row>
    <row r="67" ht="15.0" customHeight="1">
      <c r="A67" s="47"/>
    </row>
    <row r="68" ht="15.0" customHeight="1">
      <c r="A68" s="47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63">
    <mergeCell ref="I24:J24"/>
    <mergeCell ref="I25:J25"/>
    <mergeCell ref="I26:J26"/>
    <mergeCell ref="I27:J27"/>
    <mergeCell ref="I28:J28"/>
    <mergeCell ref="I29:J29"/>
    <mergeCell ref="A32:E32"/>
    <mergeCell ref="D37:E37"/>
    <mergeCell ref="D39:E39"/>
    <mergeCell ref="D41:E41"/>
    <mergeCell ref="A43:C43"/>
    <mergeCell ref="D43:E43"/>
    <mergeCell ref="A45:J45"/>
    <mergeCell ref="I6:J6"/>
    <mergeCell ref="I7:J7"/>
    <mergeCell ref="A1:J1"/>
    <mergeCell ref="A2:J2"/>
    <mergeCell ref="A4:E4"/>
    <mergeCell ref="G4:J4"/>
    <mergeCell ref="D5:E5"/>
    <mergeCell ref="D6:E6"/>
    <mergeCell ref="D7:E7"/>
    <mergeCell ref="D8:E8"/>
    <mergeCell ref="I8:J8"/>
    <mergeCell ref="D9:E9"/>
    <mergeCell ref="I9:J9"/>
    <mergeCell ref="D10:E10"/>
    <mergeCell ref="I10:J10"/>
    <mergeCell ref="D11:E11"/>
    <mergeCell ref="I11:J11"/>
    <mergeCell ref="I12:J12"/>
    <mergeCell ref="A13:E13"/>
    <mergeCell ref="D14:E14"/>
    <mergeCell ref="I14:J14"/>
    <mergeCell ref="I15:J15"/>
    <mergeCell ref="I16:J16"/>
    <mergeCell ref="I17:J17"/>
    <mergeCell ref="I18:J18"/>
    <mergeCell ref="G19:H19"/>
    <mergeCell ref="I19:J19"/>
    <mergeCell ref="G21:J21"/>
    <mergeCell ref="I22:J22"/>
    <mergeCell ref="I23:J23"/>
    <mergeCell ref="A16:E16"/>
    <mergeCell ref="D17:E17"/>
    <mergeCell ref="D18:E18"/>
    <mergeCell ref="D19:E19"/>
    <mergeCell ref="D20:E20"/>
    <mergeCell ref="D21:E21"/>
    <mergeCell ref="D22:E22"/>
    <mergeCell ref="A63:J63"/>
    <mergeCell ref="A64:J64"/>
    <mergeCell ref="A65:J65"/>
    <mergeCell ref="A66:J66"/>
    <mergeCell ref="A67:J67"/>
    <mergeCell ref="A68:J68"/>
    <mergeCell ref="A56:J56"/>
    <mergeCell ref="A57:J57"/>
    <mergeCell ref="A58:J58"/>
    <mergeCell ref="A59:J59"/>
    <mergeCell ref="A60:J60"/>
    <mergeCell ref="A61:J61"/>
    <mergeCell ref="A62:J62"/>
  </mergeCells>
  <printOptions/>
  <pageMargins bottom="1.0" footer="0.0" header="0.0" left="0.75" right="0.75" top="1.0"/>
  <pageSetup paperSize="9" orientation="portrait"/>
  <drawing r:id="rId1"/>
</worksheet>
</file>